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d136043055675031/Documents/harshita/excel/"/>
    </mc:Choice>
  </mc:AlternateContent>
  <xr:revisionPtr revIDLastSave="7" documentId="8_{3E33CE92-7EB4-47A6-9F02-D9AC4F39D10F}" xr6:coauthVersionLast="47" xr6:coauthVersionMax="47" xr10:uidLastSave="{2399C7F7-007A-471F-9E74-3AA3AF68B30C}"/>
  <bookViews>
    <workbookView xWindow="-108" yWindow="-108" windowWidth="23256" windowHeight="12456" xr2:uid="{00000000-000D-0000-FFFF-FFFF00000000}"/>
  </bookViews>
  <sheets>
    <sheet name="Montgomery_Fleet_Equipment_Inve" sheetId="1" r:id="rId1"/>
    <sheet name="Sheet1" sheetId="2" r:id="rId2"/>
    <sheet name="Sheet2" sheetId="3" r:id="rId3"/>
    <sheet name="Sheet3" sheetId="4" r:id="rId4"/>
  </sheets>
  <definedNames>
    <definedName name="_xlnm._FilterDatabase" localSheetId="0" hidden="1">Montgomery_Fleet_Equipment_Inve!$A$1:$C$50</definedName>
  </definedNames>
  <calcPr calcId="191029"/>
  <pivotCaches>
    <pivotCache cacheId="3" r:id="rId5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C55" i="1" l="1"/>
  <c r="C51" i="1"/>
  <c r="C54" i="1"/>
  <c r="C53" i="1"/>
  <c r="C52" i="1"/>
</calcChain>
</file>

<file path=xl/sharedStrings.xml><?xml version="1.0" encoding="utf-8"?>
<sst xmlns="http://schemas.openxmlformats.org/spreadsheetml/2006/main" count="165" uniqueCount="37">
  <si>
    <t>Department</t>
  </si>
  <si>
    <t>Equipment Class</t>
  </si>
  <si>
    <t>Equipment Count</t>
  </si>
  <si>
    <t>Public Safety SUV</t>
  </si>
  <si>
    <t>Sedan</t>
  </si>
  <si>
    <t>Housing and Community Affairs</t>
  </si>
  <si>
    <t>Pick Up Trucks</t>
  </si>
  <si>
    <t>SUV</t>
  </si>
  <si>
    <t>Human Rights</t>
  </si>
  <si>
    <t>Libraries</t>
  </si>
  <si>
    <t>Van</t>
  </si>
  <si>
    <t>Medium Duty</t>
  </si>
  <si>
    <t>Liquor Control</t>
  </si>
  <si>
    <t>Heavy Duty</t>
  </si>
  <si>
    <t>Office Of Homeland Security</t>
  </si>
  <si>
    <t>Permitting Services</t>
  </si>
  <si>
    <t>CUV</t>
  </si>
  <si>
    <t>Public Information Office</t>
  </si>
  <si>
    <t>Recreation</t>
  </si>
  <si>
    <t>Sheriffs Office</t>
  </si>
  <si>
    <t>Public Safety Van</t>
  </si>
  <si>
    <t>Public Safety CUV</t>
  </si>
  <si>
    <t>Public Safety Sedan</t>
  </si>
  <si>
    <t>Public Safety Pick Up Trucks</t>
  </si>
  <si>
    <t>State Attorneys Office</t>
  </si>
  <si>
    <t>Technology Services</t>
  </si>
  <si>
    <t>Transportation</t>
  </si>
  <si>
    <t>Transit Bus</t>
  </si>
  <si>
    <t>Off Road Vehicle Equipment</t>
  </si>
  <si>
    <t>SUM</t>
  </si>
  <si>
    <t>AVERAGE</t>
  </si>
  <si>
    <t>MIN</t>
  </si>
  <si>
    <t>MAX</t>
  </si>
  <si>
    <t>COUNT</t>
  </si>
  <si>
    <t>Row Labels</t>
  </si>
  <si>
    <t>Grand Total</t>
  </si>
  <si>
    <t>Sum of Equipment 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</si>
</sst>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0" fillId="0" borderId="0" xfId="0" applyAlignment="1">
      <alignment horizontal="left" inden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arsh" refreshedDate="44833.470009490738" createdVersion="8" refreshedVersion="8" minRefreshableVersion="3" recordCount="49" xr:uid="{E1EDA1B4-1ECB-458E-A6E8-16B48FE7A890}">
  <cacheSource type="worksheet">
    <worksheetSource name="Table1"/>
  </cacheSource>
  <cacheFields count="3">
    <cacheField name="Department" numFmtId="0">
      <sharedItems count="12">
        <s v="Housing and Community Affairs"/>
        <s v="Human Rights"/>
        <s v="Libraries"/>
        <s v="Liquor Control"/>
        <s v="Office Of Homeland Security"/>
        <s v="Permitting Services"/>
        <s v="Public Information Office"/>
        <s v="Recreation"/>
        <s v="Sheriffs Office"/>
        <s v="State Attorneys Office"/>
        <s v="Technology Services"/>
        <s v="Transportation"/>
      </sharedItems>
    </cacheField>
    <cacheField name="Equipment Class" numFmtId="0">
      <sharedItems count="14">
        <s v="Pick Up Trucks"/>
        <s v="SUV"/>
        <s v="Sedan"/>
        <s v="Van"/>
        <s v="Medium Duty"/>
        <s v="Heavy Duty"/>
        <s v="CUV"/>
        <s v="Off Road Vehicle Equipment"/>
        <s v="Public Safety SUV"/>
        <s v="Public Safety Van"/>
        <s v="Public Safety CUV"/>
        <s v="Public Safety Sedan"/>
        <s v="Public Safety Pick Up Trucks"/>
        <s v="Transit Bus"/>
      </sharedItems>
    </cacheField>
    <cacheField name="Equipment Count" numFmtId="0">
      <sharedItems containsSemiMixedTypes="0" containsString="0" containsNumber="1" containsInteger="1" minValue="1" maxValue="37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9">
  <r>
    <x v="0"/>
    <x v="0"/>
    <n v="21"/>
  </r>
  <r>
    <x v="0"/>
    <x v="1"/>
    <n v="1"/>
  </r>
  <r>
    <x v="0"/>
    <x v="2"/>
    <n v="23"/>
  </r>
  <r>
    <x v="1"/>
    <x v="2"/>
    <n v="2"/>
  </r>
  <r>
    <x v="2"/>
    <x v="0"/>
    <n v="3"/>
  </r>
  <r>
    <x v="2"/>
    <x v="3"/>
    <n v="2"/>
  </r>
  <r>
    <x v="2"/>
    <x v="4"/>
    <n v="1"/>
  </r>
  <r>
    <x v="3"/>
    <x v="3"/>
    <n v="2"/>
  </r>
  <r>
    <x v="3"/>
    <x v="5"/>
    <n v="42"/>
  </r>
  <r>
    <x v="3"/>
    <x v="1"/>
    <n v="1"/>
  </r>
  <r>
    <x v="3"/>
    <x v="2"/>
    <n v="11"/>
  </r>
  <r>
    <x v="4"/>
    <x v="1"/>
    <n v="1"/>
  </r>
  <r>
    <x v="5"/>
    <x v="6"/>
    <n v="9"/>
  </r>
  <r>
    <x v="5"/>
    <x v="1"/>
    <n v="27"/>
  </r>
  <r>
    <x v="5"/>
    <x v="0"/>
    <n v="24"/>
  </r>
  <r>
    <x v="5"/>
    <x v="3"/>
    <n v="1"/>
  </r>
  <r>
    <x v="5"/>
    <x v="2"/>
    <n v="48"/>
  </r>
  <r>
    <x v="6"/>
    <x v="3"/>
    <n v="1"/>
  </r>
  <r>
    <x v="7"/>
    <x v="2"/>
    <n v="6"/>
  </r>
  <r>
    <x v="7"/>
    <x v="0"/>
    <n v="5"/>
  </r>
  <r>
    <x v="7"/>
    <x v="1"/>
    <n v="2"/>
  </r>
  <r>
    <x v="7"/>
    <x v="3"/>
    <n v="15"/>
  </r>
  <r>
    <x v="7"/>
    <x v="7"/>
    <n v="7"/>
  </r>
  <r>
    <x v="8"/>
    <x v="8"/>
    <n v="20"/>
  </r>
  <r>
    <x v="8"/>
    <x v="2"/>
    <n v="1"/>
  </r>
  <r>
    <x v="8"/>
    <x v="4"/>
    <n v="1"/>
  </r>
  <r>
    <x v="8"/>
    <x v="0"/>
    <n v="3"/>
  </r>
  <r>
    <x v="8"/>
    <x v="1"/>
    <n v="1"/>
  </r>
  <r>
    <x v="8"/>
    <x v="9"/>
    <n v="8"/>
  </r>
  <r>
    <x v="8"/>
    <x v="10"/>
    <n v="4"/>
  </r>
  <r>
    <x v="8"/>
    <x v="11"/>
    <n v="46"/>
  </r>
  <r>
    <x v="8"/>
    <x v="12"/>
    <n v="1"/>
  </r>
  <r>
    <x v="9"/>
    <x v="11"/>
    <n v="1"/>
  </r>
  <r>
    <x v="9"/>
    <x v="3"/>
    <n v="1"/>
  </r>
  <r>
    <x v="9"/>
    <x v="1"/>
    <n v="1"/>
  </r>
  <r>
    <x v="9"/>
    <x v="2"/>
    <n v="2"/>
  </r>
  <r>
    <x v="10"/>
    <x v="0"/>
    <n v="1"/>
  </r>
  <r>
    <x v="10"/>
    <x v="6"/>
    <n v="1"/>
  </r>
  <r>
    <x v="10"/>
    <x v="3"/>
    <n v="11"/>
  </r>
  <r>
    <x v="10"/>
    <x v="1"/>
    <n v="3"/>
  </r>
  <r>
    <x v="11"/>
    <x v="0"/>
    <n v="93"/>
  </r>
  <r>
    <x v="11"/>
    <x v="5"/>
    <n v="248"/>
  </r>
  <r>
    <x v="11"/>
    <x v="13"/>
    <n v="379"/>
  </r>
  <r>
    <x v="11"/>
    <x v="1"/>
    <n v="53"/>
  </r>
  <r>
    <x v="11"/>
    <x v="3"/>
    <n v="32"/>
  </r>
  <r>
    <x v="11"/>
    <x v="4"/>
    <n v="98"/>
  </r>
  <r>
    <x v="11"/>
    <x v="7"/>
    <n v="276"/>
  </r>
  <r>
    <x v="11"/>
    <x v="6"/>
    <n v="5"/>
  </r>
  <r>
    <x v="11"/>
    <x v="2"/>
    <n v="37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760E8DC-402D-4709-8937-51471B03505A}" name="PivotTable1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16" firstHeaderRow="1" firstDataRow="1" firstDataCol="1"/>
  <pivotFields count="3">
    <pivotField axis="axisRow" showAll="0" sortType="descending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dataField="1" showAll="0"/>
  </pivotFields>
  <rowFields count="1">
    <field x="0"/>
  </rowFields>
  <rowItems count="13">
    <i>
      <x v="11"/>
    </i>
    <i>
      <x v="5"/>
    </i>
    <i>
      <x v="8"/>
    </i>
    <i>
      <x v="3"/>
    </i>
    <i>
      <x/>
    </i>
    <i>
      <x v="7"/>
    </i>
    <i>
      <x v="10"/>
    </i>
    <i>
      <x v="2"/>
    </i>
    <i>
      <x v="9"/>
    </i>
    <i>
      <x v="1"/>
    </i>
    <i>
      <x v="4"/>
    </i>
    <i>
      <x v="6"/>
    </i>
    <i t="grand">
      <x/>
    </i>
  </rowItems>
  <colItems count="1">
    <i/>
  </colItems>
  <dataFields count="1">
    <dataField name="Sum of Equipment Count" fld="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5907800-A418-4E76-8F00-7BCEC3B2A1CB}" name="PivotTable2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25" firstHeaderRow="1" firstDataRow="1" firstDataCol="1"/>
  <pivotFields count="3">
    <pivotField axis="axisRow" showAll="0" sortType="descending">
      <items count="13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x="11"/>
        <item t="default" sd="0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Row" showAll="0">
      <items count="15">
        <item x="6"/>
        <item x="5"/>
        <item x="4"/>
        <item x="7"/>
        <item x="0"/>
        <item x="10"/>
        <item x="12"/>
        <item x="11"/>
        <item x="8"/>
        <item x="9"/>
        <item x="2"/>
        <item x="1"/>
        <item x="13"/>
        <item x="3"/>
        <item t="default"/>
      </items>
    </pivotField>
    <pivotField dataField="1" showAll="0"/>
  </pivotFields>
  <rowFields count="2">
    <field x="0"/>
    <field x="1"/>
  </rowFields>
  <rowItems count="22">
    <i>
      <x v="11"/>
    </i>
    <i r="1">
      <x/>
    </i>
    <i r="1">
      <x v="1"/>
    </i>
    <i r="1">
      <x v="2"/>
    </i>
    <i r="1">
      <x v="3"/>
    </i>
    <i r="1">
      <x v="4"/>
    </i>
    <i r="1">
      <x v="10"/>
    </i>
    <i r="1">
      <x v="11"/>
    </i>
    <i r="1">
      <x v="12"/>
    </i>
    <i r="1">
      <x v="13"/>
    </i>
    <i>
      <x v="5"/>
    </i>
    <i>
      <x v="8"/>
    </i>
    <i>
      <x v="3"/>
    </i>
    <i>
      <x/>
    </i>
    <i>
      <x v="7"/>
    </i>
    <i>
      <x v="10"/>
    </i>
    <i>
      <x v="2"/>
    </i>
    <i>
      <x v="9"/>
    </i>
    <i>
      <x v="1"/>
    </i>
    <i>
      <x v="4"/>
    </i>
    <i>
      <x v="6"/>
    </i>
    <i t="grand">
      <x/>
    </i>
  </rowItems>
  <colItems count="1">
    <i/>
  </colItems>
  <dataFields count="1">
    <dataField name="Sum of Equipment Count" fld="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F28AB40-8CE8-4165-A0B8-9A560D0DAC57}" name="PivotTable3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21" firstHeaderRow="1" firstDataRow="1" firstDataCol="1"/>
  <pivotFields count="3">
    <pivotField axis="axisRow" showAll="0" sortType="descending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Row" showAll="0">
      <items count="15">
        <item x="6"/>
        <item sd="0" x="5"/>
        <item sd="0" x="4"/>
        <item sd="0" x="7"/>
        <item sd="0" x="0"/>
        <item sd="0" x="10"/>
        <item sd="0" x="12"/>
        <item sd="0" x="11"/>
        <item sd="0" x="8"/>
        <item sd="0" x="9"/>
        <item sd="0" x="2"/>
        <item sd="0" x="1"/>
        <item sd="0" x="13"/>
        <item sd="0" x="3"/>
        <item t="default" sd="0"/>
      </items>
    </pivotField>
    <pivotField dataField="1" showAll="0"/>
  </pivotFields>
  <rowFields count="2">
    <field x="1"/>
    <field x="0"/>
  </rowFields>
  <rowItems count="18">
    <i>
      <x/>
    </i>
    <i r="1">
      <x v="5"/>
    </i>
    <i r="1">
      <x v="11"/>
    </i>
    <i r="1">
      <x v="10"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 t="grand">
      <x/>
    </i>
  </rowItems>
  <colItems count="1">
    <i/>
  </colItems>
  <dataFields count="1">
    <dataField name="Sum of Equipment Count" fld="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294BAFA-C708-4B47-A10C-B3402D022D56}" name="Table1" displayName="Table1" ref="A1:C50" totalsRowShown="0">
  <autoFilter ref="A1:C50" xr:uid="{E294BAFA-C708-4B47-A10C-B3402D022D56}"/>
  <tableColumns count="3">
    <tableColumn id="1" xr3:uid="{183F5567-01FD-4869-9408-DEF454EBDE7A}" name="Department"/>
    <tableColumn id="2" xr3:uid="{6CBAAC36-D075-4BD0-A680-5D3058C7F506}" name="Equipment Class"/>
    <tableColumn id="3" xr3:uid="{9F165672-2D5F-4AE7-AE15-96CE1C1D7B3E}" name="Equipment Count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5"/>
  <sheetViews>
    <sheetView tabSelected="1" topLeftCell="A31" workbookViewId="0">
      <selection activeCell="C56" sqref="C56"/>
    </sheetView>
  </sheetViews>
  <sheetFormatPr defaultRowHeight="14.4" x14ac:dyDescent="0.3"/>
  <cols>
    <col min="1" max="1" width="29.44140625" bestFit="1" customWidth="1"/>
    <col min="2" max="2" width="26.109375" bestFit="1" customWidth="1"/>
    <col min="3" max="3" width="16.88671875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5</v>
      </c>
      <c r="B2" t="s">
        <v>6</v>
      </c>
      <c r="C2">
        <v>21</v>
      </c>
    </row>
    <row r="3" spans="1:3" x14ac:dyDescent="0.3">
      <c r="A3" t="s">
        <v>5</v>
      </c>
      <c r="B3" t="s">
        <v>7</v>
      </c>
      <c r="C3">
        <v>1</v>
      </c>
    </row>
    <row r="4" spans="1:3" x14ac:dyDescent="0.3">
      <c r="A4" t="s">
        <v>5</v>
      </c>
      <c r="B4" t="s">
        <v>4</v>
      </c>
      <c r="C4">
        <v>23</v>
      </c>
    </row>
    <row r="5" spans="1:3" x14ac:dyDescent="0.3">
      <c r="A5" t="s">
        <v>8</v>
      </c>
      <c r="B5" t="s">
        <v>4</v>
      </c>
      <c r="C5">
        <v>2</v>
      </c>
    </row>
    <row r="6" spans="1:3" x14ac:dyDescent="0.3">
      <c r="A6" t="s">
        <v>9</v>
      </c>
      <c r="B6" t="s">
        <v>6</v>
      </c>
      <c r="C6">
        <v>3</v>
      </c>
    </row>
    <row r="7" spans="1:3" x14ac:dyDescent="0.3">
      <c r="A7" t="s">
        <v>9</v>
      </c>
      <c r="B7" t="s">
        <v>10</v>
      </c>
      <c r="C7">
        <v>2</v>
      </c>
    </row>
    <row r="8" spans="1:3" x14ac:dyDescent="0.3">
      <c r="A8" t="s">
        <v>9</v>
      </c>
      <c r="B8" t="s">
        <v>11</v>
      </c>
      <c r="C8">
        <v>1</v>
      </c>
    </row>
    <row r="9" spans="1:3" x14ac:dyDescent="0.3">
      <c r="A9" t="s">
        <v>12</v>
      </c>
      <c r="B9" t="s">
        <v>10</v>
      </c>
      <c r="C9">
        <v>2</v>
      </c>
    </row>
    <row r="10" spans="1:3" x14ac:dyDescent="0.3">
      <c r="A10" t="s">
        <v>12</v>
      </c>
      <c r="B10" t="s">
        <v>13</v>
      </c>
      <c r="C10">
        <v>42</v>
      </c>
    </row>
    <row r="11" spans="1:3" x14ac:dyDescent="0.3">
      <c r="A11" t="s">
        <v>12</v>
      </c>
      <c r="B11" t="s">
        <v>7</v>
      </c>
      <c r="C11">
        <v>1</v>
      </c>
    </row>
    <row r="12" spans="1:3" x14ac:dyDescent="0.3">
      <c r="A12" t="s">
        <v>12</v>
      </c>
      <c r="B12" t="s">
        <v>4</v>
      </c>
      <c r="C12">
        <v>11</v>
      </c>
    </row>
    <row r="13" spans="1:3" x14ac:dyDescent="0.3">
      <c r="A13" t="s">
        <v>14</v>
      </c>
      <c r="B13" t="s">
        <v>7</v>
      </c>
      <c r="C13">
        <v>1</v>
      </c>
    </row>
    <row r="14" spans="1:3" x14ac:dyDescent="0.3">
      <c r="A14" t="s">
        <v>15</v>
      </c>
      <c r="B14" t="s">
        <v>16</v>
      </c>
      <c r="C14">
        <v>9</v>
      </c>
    </row>
    <row r="15" spans="1:3" x14ac:dyDescent="0.3">
      <c r="A15" t="s">
        <v>15</v>
      </c>
      <c r="B15" t="s">
        <v>7</v>
      </c>
      <c r="C15">
        <v>27</v>
      </c>
    </row>
    <row r="16" spans="1:3" x14ac:dyDescent="0.3">
      <c r="A16" t="s">
        <v>15</v>
      </c>
      <c r="B16" t="s">
        <v>6</v>
      </c>
      <c r="C16">
        <v>24</v>
      </c>
    </row>
    <row r="17" spans="1:3" x14ac:dyDescent="0.3">
      <c r="A17" t="s">
        <v>15</v>
      </c>
      <c r="B17" t="s">
        <v>10</v>
      </c>
      <c r="C17">
        <v>1</v>
      </c>
    </row>
    <row r="18" spans="1:3" x14ac:dyDescent="0.3">
      <c r="A18" t="s">
        <v>15</v>
      </c>
      <c r="B18" t="s">
        <v>4</v>
      </c>
      <c r="C18">
        <v>48</v>
      </c>
    </row>
    <row r="19" spans="1:3" x14ac:dyDescent="0.3">
      <c r="A19" t="s">
        <v>17</v>
      </c>
      <c r="B19" t="s">
        <v>10</v>
      </c>
      <c r="C19">
        <v>1</v>
      </c>
    </row>
    <row r="20" spans="1:3" x14ac:dyDescent="0.3">
      <c r="A20" t="s">
        <v>18</v>
      </c>
      <c r="B20" t="s">
        <v>4</v>
      </c>
      <c r="C20">
        <v>6</v>
      </c>
    </row>
    <row r="21" spans="1:3" x14ac:dyDescent="0.3">
      <c r="A21" t="s">
        <v>18</v>
      </c>
      <c r="B21" t="s">
        <v>6</v>
      </c>
      <c r="C21">
        <v>5</v>
      </c>
    </row>
    <row r="22" spans="1:3" x14ac:dyDescent="0.3">
      <c r="A22" t="s">
        <v>18</v>
      </c>
      <c r="B22" t="s">
        <v>7</v>
      </c>
      <c r="C22">
        <v>2</v>
      </c>
    </row>
    <row r="23" spans="1:3" x14ac:dyDescent="0.3">
      <c r="A23" t="s">
        <v>18</v>
      </c>
      <c r="B23" t="s">
        <v>10</v>
      </c>
      <c r="C23">
        <v>15</v>
      </c>
    </row>
    <row r="24" spans="1:3" x14ac:dyDescent="0.3">
      <c r="A24" t="s">
        <v>18</v>
      </c>
      <c r="B24" t="s">
        <v>28</v>
      </c>
      <c r="C24">
        <v>7</v>
      </c>
    </row>
    <row r="25" spans="1:3" x14ac:dyDescent="0.3">
      <c r="A25" t="s">
        <v>19</v>
      </c>
      <c r="B25" t="s">
        <v>3</v>
      </c>
      <c r="C25">
        <v>20</v>
      </c>
    </row>
    <row r="26" spans="1:3" x14ac:dyDescent="0.3">
      <c r="A26" t="s">
        <v>19</v>
      </c>
      <c r="B26" t="s">
        <v>4</v>
      </c>
      <c r="C26">
        <v>1</v>
      </c>
    </row>
    <row r="27" spans="1:3" x14ac:dyDescent="0.3">
      <c r="A27" t="s">
        <v>19</v>
      </c>
      <c r="B27" t="s">
        <v>11</v>
      </c>
      <c r="C27">
        <v>1</v>
      </c>
    </row>
    <row r="28" spans="1:3" x14ac:dyDescent="0.3">
      <c r="A28" t="s">
        <v>19</v>
      </c>
      <c r="B28" t="s">
        <v>6</v>
      </c>
      <c r="C28">
        <v>3</v>
      </c>
    </row>
    <row r="29" spans="1:3" x14ac:dyDescent="0.3">
      <c r="A29" t="s">
        <v>19</v>
      </c>
      <c r="B29" t="s">
        <v>7</v>
      </c>
      <c r="C29">
        <v>1</v>
      </c>
    </row>
    <row r="30" spans="1:3" x14ac:dyDescent="0.3">
      <c r="A30" t="s">
        <v>19</v>
      </c>
      <c r="B30" t="s">
        <v>20</v>
      </c>
      <c r="C30">
        <v>8</v>
      </c>
    </row>
    <row r="31" spans="1:3" x14ac:dyDescent="0.3">
      <c r="A31" t="s">
        <v>19</v>
      </c>
      <c r="B31" t="s">
        <v>21</v>
      </c>
      <c r="C31">
        <v>4</v>
      </c>
    </row>
    <row r="32" spans="1:3" x14ac:dyDescent="0.3">
      <c r="A32" t="s">
        <v>19</v>
      </c>
      <c r="B32" t="s">
        <v>22</v>
      </c>
      <c r="C32">
        <v>46</v>
      </c>
    </row>
    <row r="33" spans="1:3" x14ac:dyDescent="0.3">
      <c r="A33" t="s">
        <v>19</v>
      </c>
      <c r="B33" t="s">
        <v>23</v>
      </c>
      <c r="C33">
        <v>1</v>
      </c>
    </row>
    <row r="34" spans="1:3" x14ac:dyDescent="0.3">
      <c r="A34" t="s">
        <v>24</v>
      </c>
      <c r="B34" t="s">
        <v>22</v>
      </c>
      <c r="C34">
        <v>1</v>
      </c>
    </row>
    <row r="35" spans="1:3" x14ac:dyDescent="0.3">
      <c r="A35" t="s">
        <v>24</v>
      </c>
      <c r="B35" t="s">
        <v>10</v>
      </c>
      <c r="C35">
        <v>1</v>
      </c>
    </row>
    <row r="36" spans="1:3" x14ac:dyDescent="0.3">
      <c r="A36" t="s">
        <v>24</v>
      </c>
      <c r="B36" t="s">
        <v>7</v>
      </c>
      <c r="C36">
        <v>1</v>
      </c>
    </row>
    <row r="37" spans="1:3" x14ac:dyDescent="0.3">
      <c r="A37" t="s">
        <v>24</v>
      </c>
      <c r="B37" t="s">
        <v>4</v>
      </c>
      <c r="C37">
        <v>2</v>
      </c>
    </row>
    <row r="38" spans="1:3" x14ac:dyDescent="0.3">
      <c r="A38" t="s">
        <v>25</v>
      </c>
      <c r="B38" t="s">
        <v>6</v>
      </c>
      <c r="C38">
        <v>1</v>
      </c>
    </row>
    <row r="39" spans="1:3" x14ac:dyDescent="0.3">
      <c r="A39" t="s">
        <v>25</v>
      </c>
      <c r="B39" t="s">
        <v>16</v>
      </c>
      <c r="C39">
        <v>1</v>
      </c>
    </row>
    <row r="40" spans="1:3" x14ac:dyDescent="0.3">
      <c r="A40" t="s">
        <v>25</v>
      </c>
      <c r="B40" t="s">
        <v>10</v>
      </c>
      <c r="C40">
        <v>11</v>
      </c>
    </row>
    <row r="41" spans="1:3" x14ac:dyDescent="0.3">
      <c r="A41" t="s">
        <v>25</v>
      </c>
      <c r="B41" t="s">
        <v>7</v>
      </c>
      <c r="C41">
        <v>3</v>
      </c>
    </row>
    <row r="42" spans="1:3" x14ac:dyDescent="0.3">
      <c r="A42" t="s">
        <v>26</v>
      </c>
      <c r="B42" t="s">
        <v>6</v>
      </c>
      <c r="C42">
        <v>93</v>
      </c>
    </row>
    <row r="43" spans="1:3" x14ac:dyDescent="0.3">
      <c r="A43" t="s">
        <v>26</v>
      </c>
      <c r="B43" t="s">
        <v>13</v>
      </c>
      <c r="C43">
        <v>248</v>
      </c>
    </row>
    <row r="44" spans="1:3" x14ac:dyDescent="0.3">
      <c r="A44" t="s">
        <v>26</v>
      </c>
      <c r="B44" t="s">
        <v>27</v>
      </c>
      <c r="C44">
        <v>379</v>
      </c>
    </row>
    <row r="45" spans="1:3" x14ac:dyDescent="0.3">
      <c r="A45" t="s">
        <v>26</v>
      </c>
      <c r="B45" t="s">
        <v>7</v>
      </c>
      <c r="C45">
        <v>53</v>
      </c>
    </row>
    <row r="46" spans="1:3" x14ac:dyDescent="0.3">
      <c r="A46" t="s">
        <v>26</v>
      </c>
      <c r="B46" t="s">
        <v>10</v>
      </c>
      <c r="C46">
        <v>32</v>
      </c>
    </row>
    <row r="47" spans="1:3" x14ac:dyDescent="0.3">
      <c r="A47" t="s">
        <v>26</v>
      </c>
      <c r="B47" t="s">
        <v>11</v>
      </c>
      <c r="C47">
        <v>98</v>
      </c>
    </row>
    <row r="48" spans="1:3" x14ac:dyDescent="0.3">
      <c r="A48" t="s">
        <v>26</v>
      </c>
      <c r="B48" t="s">
        <v>28</v>
      </c>
      <c r="C48">
        <v>276</v>
      </c>
    </row>
    <row r="49" spans="1:3" x14ac:dyDescent="0.3">
      <c r="A49" t="s">
        <v>26</v>
      </c>
      <c r="B49" t="s">
        <v>16</v>
      </c>
      <c r="C49">
        <v>5</v>
      </c>
    </row>
    <row r="50" spans="1:3" x14ac:dyDescent="0.3">
      <c r="A50" t="s">
        <v>26</v>
      </c>
      <c r="B50" t="s">
        <v>4</v>
      </c>
      <c r="C50">
        <v>37</v>
      </c>
    </row>
    <row r="51" spans="1:3" x14ac:dyDescent="0.3">
      <c r="B51" t="s">
        <v>29</v>
      </c>
      <c r="C51">
        <f>SUBTOTAL(109,Table1[Equipment Count])</f>
        <v>1582</v>
      </c>
    </row>
    <row r="52" spans="1:3" x14ac:dyDescent="0.3">
      <c r="B52" t="s">
        <v>30</v>
      </c>
      <c r="C52">
        <f>AVERAGE(Table1[Equipment Count])</f>
        <v>32.285714285714285</v>
      </c>
    </row>
    <row r="53" spans="1:3" x14ac:dyDescent="0.3">
      <c r="B53" t="s">
        <v>31</v>
      </c>
      <c r="C53">
        <f>MIN(Table1[Equipment Count])</f>
        <v>1</v>
      </c>
    </row>
    <row r="54" spans="1:3" x14ac:dyDescent="0.3">
      <c r="B54" t="s">
        <v>32</v>
      </c>
      <c r="C54">
        <f>MAX(Table1[Equipment Count])</f>
        <v>379</v>
      </c>
    </row>
    <row r="55" spans="1:3" x14ac:dyDescent="0.3">
      <c r="B55" t="s">
        <v>33</v>
      </c>
      <c r="C55">
        <f>COUNT(Table1[Equipment Count])</f>
        <v>49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A6DBC7-AE8D-4813-8ABA-0D19B950A065}">
  <dimension ref="A3:B16"/>
  <sheetViews>
    <sheetView workbookViewId="0">
      <selection activeCell="A3" sqref="A3:B16"/>
    </sheetView>
  </sheetViews>
  <sheetFormatPr defaultRowHeight="14.4" x14ac:dyDescent="0.3"/>
  <cols>
    <col min="1" max="1" width="26.88671875" bestFit="1" customWidth="1"/>
    <col min="2" max="2" width="22.5546875" bestFit="1" customWidth="1"/>
  </cols>
  <sheetData>
    <row r="3" spans="1:2" x14ac:dyDescent="0.3">
      <c r="A3" s="1" t="s">
        <v>34</v>
      </c>
      <c r="B3" t="s">
        <v>36</v>
      </c>
    </row>
    <row r="4" spans="1:2" x14ac:dyDescent="0.3">
      <c r="A4" s="2" t="s">
        <v>26</v>
      </c>
      <c r="B4" s="3">
        <v>1221</v>
      </c>
    </row>
    <row r="5" spans="1:2" x14ac:dyDescent="0.3">
      <c r="A5" s="2" t="s">
        <v>15</v>
      </c>
      <c r="B5" s="3">
        <v>109</v>
      </c>
    </row>
    <row r="6" spans="1:2" x14ac:dyDescent="0.3">
      <c r="A6" s="2" t="s">
        <v>19</v>
      </c>
      <c r="B6" s="3">
        <v>85</v>
      </c>
    </row>
    <row r="7" spans="1:2" x14ac:dyDescent="0.3">
      <c r="A7" s="2" t="s">
        <v>12</v>
      </c>
      <c r="B7" s="3">
        <v>56</v>
      </c>
    </row>
    <row r="8" spans="1:2" x14ac:dyDescent="0.3">
      <c r="A8" s="2" t="s">
        <v>5</v>
      </c>
      <c r="B8" s="3">
        <v>45</v>
      </c>
    </row>
    <row r="9" spans="1:2" x14ac:dyDescent="0.3">
      <c r="A9" s="2" t="s">
        <v>18</v>
      </c>
      <c r="B9" s="3">
        <v>35</v>
      </c>
    </row>
    <row r="10" spans="1:2" x14ac:dyDescent="0.3">
      <c r="A10" s="2" t="s">
        <v>25</v>
      </c>
      <c r="B10" s="3">
        <v>16</v>
      </c>
    </row>
    <row r="11" spans="1:2" x14ac:dyDescent="0.3">
      <c r="A11" s="2" t="s">
        <v>9</v>
      </c>
      <c r="B11" s="3">
        <v>6</v>
      </c>
    </row>
    <row r="12" spans="1:2" x14ac:dyDescent="0.3">
      <c r="A12" s="2" t="s">
        <v>24</v>
      </c>
      <c r="B12" s="3">
        <v>5</v>
      </c>
    </row>
    <row r="13" spans="1:2" x14ac:dyDescent="0.3">
      <c r="A13" s="2" t="s">
        <v>8</v>
      </c>
      <c r="B13" s="3">
        <v>2</v>
      </c>
    </row>
    <row r="14" spans="1:2" x14ac:dyDescent="0.3">
      <c r="A14" s="2" t="s">
        <v>14</v>
      </c>
      <c r="B14" s="3">
        <v>1</v>
      </c>
    </row>
    <row r="15" spans="1:2" x14ac:dyDescent="0.3">
      <c r="A15" s="2" t="s">
        <v>17</v>
      </c>
      <c r="B15" s="3">
        <v>1</v>
      </c>
    </row>
    <row r="16" spans="1:2" x14ac:dyDescent="0.3">
      <c r="A16" s="2" t="s">
        <v>35</v>
      </c>
      <c r="B16" s="3">
        <v>1582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B31780-5F3D-46FF-9C41-D2210603B2D8}">
  <dimension ref="A3:B25"/>
  <sheetViews>
    <sheetView workbookViewId="0">
      <selection activeCell="A4" sqref="A4"/>
    </sheetView>
  </sheetViews>
  <sheetFormatPr defaultRowHeight="14.4" x14ac:dyDescent="0.3"/>
  <cols>
    <col min="1" max="1" width="30.109375" bestFit="1" customWidth="1"/>
    <col min="2" max="2" width="22.5546875" bestFit="1" customWidth="1"/>
  </cols>
  <sheetData>
    <row r="3" spans="1:2" x14ac:dyDescent="0.3">
      <c r="A3" s="1" t="s">
        <v>34</v>
      </c>
      <c r="B3" t="s">
        <v>36</v>
      </c>
    </row>
    <row r="4" spans="1:2" x14ac:dyDescent="0.3">
      <c r="A4" s="2" t="s">
        <v>26</v>
      </c>
      <c r="B4" s="3">
        <v>1221</v>
      </c>
    </row>
    <row r="5" spans="1:2" x14ac:dyDescent="0.3">
      <c r="A5" s="4" t="s">
        <v>16</v>
      </c>
      <c r="B5" s="3">
        <v>5</v>
      </c>
    </row>
    <row r="6" spans="1:2" x14ac:dyDescent="0.3">
      <c r="A6" s="4" t="s">
        <v>13</v>
      </c>
      <c r="B6" s="3">
        <v>248</v>
      </c>
    </row>
    <row r="7" spans="1:2" x14ac:dyDescent="0.3">
      <c r="A7" s="4" t="s">
        <v>11</v>
      </c>
      <c r="B7" s="3">
        <v>98</v>
      </c>
    </row>
    <row r="8" spans="1:2" x14ac:dyDescent="0.3">
      <c r="A8" s="4" t="s">
        <v>28</v>
      </c>
      <c r="B8" s="3">
        <v>276</v>
      </c>
    </row>
    <row r="9" spans="1:2" x14ac:dyDescent="0.3">
      <c r="A9" s="4" t="s">
        <v>6</v>
      </c>
      <c r="B9" s="3">
        <v>93</v>
      </c>
    </row>
    <row r="10" spans="1:2" x14ac:dyDescent="0.3">
      <c r="A10" s="4" t="s">
        <v>4</v>
      </c>
      <c r="B10" s="3">
        <v>37</v>
      </c>
    </row>
    <row r="11" spans="1:2" x14ac:dyDescent="0.3">
      <c r="A11" s="4" t="s">
        <v>7</v>
      </c>
      <c r="B11" s="3">
        <v>53</v>
      </c>
    </row>
    <row r="12" spans="1:2" x14ac:dyDescent="0.3">
      <c r="A12" s="4" t="s">
        <v>27</v>
      </c>
      <c r="B12" s="3">
        <v>379</v>
      </c>
    </row>
    <row r="13" spans="1:2" x14ac:dyDescent="0.3">
      <c r="A13" s="4" t="s">
        <v>10</v>
      </c>
      <c r="B13" s="3">
        <v>32</v>
      </c>
    </row>
    <row r="14" spans="1:2" x14ac:dyDescent="0.3">
      <c r="A14" s="2" t="s">
        <v>15</v>
      </c>
      <c r="B14" s="3">
        <v>109</v>
      </c>
    </row>
    <row r="15" spans="1:2" x14ac:dyDescent="0.3">
      <c r="A15" s="2" t="s">
        <v>19</v>
      </c>
      <c r="B15" s="3">
        <v>85</v>
      </c>
    </row>
    <row r="16" spans="1:2" x14ac:dyDescent="0.3">
      <c r="A16" s="2" t="s">
        <v>12</v>
      </c>
      <c r="B16" s="3">
        <v>56</v>
      </c>
    </row>
    <row r="17" spans="1:2" x14ac:dyDescent="0.3">
      <c r="A17" s="2" t="s">
        <v>5</v>
      </c>
      <c r="B17" s="3">
        <v>45</v>
      </c>
    </row>
    <row r="18" spans="1:2" x14ac:dyDescent="0.3">
      <c r="A18" s="2" t="s">
        <v>18</v>
      </c>
      <c r="B18" s="3">
        <v>35</v>
      </c>
    </row>
    <row r="19" spans="1:2" x14ac:dyDescent="0.3">
      <c r="A19" s="2" t="s">
        <v>25</v>
      </c>
      <c r="B19" s="3">
        <v>16</v>
      </c>
    </row>
    <row r="20" spans="1:2" x14ac:dyDescent="0.3">
      <c r="A20" s="2" t="s">
        <v>9</v>
      </c>
      <c r="B20" s="3">
        <v>6</v>
      </c>
    </row>
    <row r="21" spans="1:2" x14ac:dyDescent="0.3">
      <c r="A21" s="2" t="s">
        <v>24</v>
      </c>
      <c r="B21" s="3">
        <v>5</v>
      </c>
    </row>
    <row r="22" spans="1:2" x14ac:dyDescent="0.3">
      <c r="A22" s="2" t="s">
        <v>8</v>
      </c>
      <c r="B22" s="3">
        <v>2</v>
      </c>
    </row>
    <row r="23" spans="1:2" x14ac:dyDescent="0.3">
      <c r="A23" s="2" t="s">
        <v>14</v>
      </c>
      <c r="B23" s="3">
        <v>1</v>
      </c>
    </row>
    <row r="24" spans="1:2" x14ac:dyDescent="0.3">
      <c r="A24" s="2" t="s">
        <v>17</v>
      </c>
      <c r="B24" s="3">
        <v>1</v>
      </c>
    </row>
    <row r="25" spans="1:2" x14ac:dyDescent="0.3">
      <c r="A25" s="2" t="s">
        <v>35</v>
      </c>
      <c r="B25" s="3">
        <v>1582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7B2644-0F7B-45B1-8E95-EF85D3709A30}">
  <dimension ref="A3:B21"/>
  <sheetViews>
    <sheetView workbookViewId="0">
      <selection activeCell="A4" sqref="A4"/>
    </sheetView>
  </sheetViews>
  <sheetFormatPr defaultRowHeight="14.4" x14ac:dyDescent="0.3"/>
  <cols>
    <col min="1" max="1" width="27" bestFit="1" customWidth="1"/>
    <col min="2" max="2" width="22.5546875" bestFit="1" customWidth="1"/>
  </cols>
  <sheetData>
    <row r="3" spans="1:2" x14ac:dyDescent="0.3">
      <c r="A3" s="1" t="s">
        <v>34</v>
      </c>
      <c r="B3" t="s">
        <v>36</v>
      </c>
    </row>
    <row r="4" spans="1:2" x14ac:dyDescent="0.3">
      <c r="A4" s="2" t="s">
        <v>16</v>
      </c>
      <c r="B4" s="3">
        <v>15</v>
      </c>
    </row>
    <row r="5" spans="1:2" x14ac:dyDescent="0.3">
      <c r="A5" s="4" t="s">
        <v>15</v>
      </c>
      <c r="B5" s="3">
        <v>9</v>
      </c>
    </row>
    <row r="6" spans="1:2" x14ac:dyDescent="0.3">
      <c r="A6" s="4" t="s">
        <v>26</v>
      </c>
      <c r="B6" s="3">
        <v>5</v>
      </c>
    </row>
    <row r="7" spans="1:2" x14ac:dyDescent="0.3">
      <c r="A7" s="4" t="s">
        <v>25</v>
      </c>
      <c r="B7" s="3">
        <v>1</v>
      </c>
    </row>
    <row r="8" spans="1:2" x14ac:dyDescent="0.3">
      <c r="A8" s="2" t="s">
        <v>13</v>
      </c>
      <c r="B8" s="3">
        <v>290</v>
      </c>
    </row>
    <row r="9" spans="1:2" x14ac:dyDescent="0.3">
      <c r="A9" s="2" t="s">
        <v>11</v>
      </c>
      <c r="B9" s="3">
        <v>100</v>
      </c>
    </row>
    <row r="10" spans="1:2" x14ac:dyDescent="0.3">
      <c r="A10" s="2" t="s">
        <v>28</v>
      </c>
      <c r="B10" s="3">
        <v>283</v>
      </c>
    </row>
    <row r="11" spans="1:2" x14ac:dyDescent="0.3">
      <c r="A11" s="2" t="s">
        <v>6</v>
      </c>
      <c r="B11" s="3">
        <v>150</v>
      </c>
    </row>
    <row r="12" spans="1:2" x14ac:dyDescent="0.3">
      <c r="A12" s="2" t="s">
        <v>21</v>
      </c>
      <c r="B12" s="3">
        <v>4</v>
      </c>
    </row>
    <row r="13" spans="1:2" x14ac:dyDescent="0.3">
      <c r="A13" s="2" t="s">
        <v>23</v>
      </c>
      <c r="B13" s="3">
        <v>1</v>
      </c>
    </row>
    <row r="14" spans="1:2" x14ac:dyDescent="0.3">
      <c r="A14" s="2" t="s">
        <v>22</v>
      </c>
      <c r="B14" s="3">
        <v>47</v>
      </c>
    </row>
    <row r="15" spans="1:2" x14ac:dyDescent="0.3">
      <c r="A15" s="2" t="s">
        <v>3</v>
      </c>
      <c r="B15" s="3">
        <v>20</v>
      </c>
    </row>
    <row r="16" spans="1:2" x14ac:dyDescent="0.3">
      <c r="A16" s="2" t="s">
        <v>20</v>
      </c>
      <c r="B16" s="3">
        <v>8</v>
      </c>
    </row>
    <row r="17" spans="1:2" x14ac:dyDescent="0.3">
      <c r="A17" s="2" t="s">
        <v>4</v>
      </c>
      <c r="B17" s="3">
        <v>130</v>
      </c>
    </row>
    <row r="18" spans="1:2" x14ac:dyDescent="0.3">
      <c r="A18" s="2" t="s">
        <v>7</v>
      </c>
      <c r="B18" s="3">
        <v>90</v>
      </c>
    </row>
    <row r="19" spans="1:2" x14ac:dyDescent="0.3">
      <c r="A19" s="2" t="s">
        <v>27</v>
      </c>
      <c r="B19" s="3">
        <v>379</v>
      </c>
    </row>
    <row r="20" spans="1:2" x14ac:dyDescent="0.3">
      <c r="A20" s="2" t="s">
        <v>10</v>
      </c>
      <c r="B20" s="3">
        <v>65</v>
      </c>
    </row>
    <row r="21" spans="1:2" x14ac:dyDescent="0.3">
      <c r="A21" s="2" t="s">
        <v>35</v>
      </c>
      <c r="B21" s="3">
        <v>1582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Montgomery_Fleet_Equipment_Inve</vt:lpstr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harsh</dc:creator>
  <cp:lastModifiedBy>harshita0401@gmail.com</cp:lastModifiedBy>
  <dcterms:created xsi:type="dcterms:W3CDTF">2020-09-01T17:18:12Z</dcterms:created>
  <dcterms:modified xsi:type="dcterms:W3CDTF">2022-09-29T06:04:38Z</dcterms:modified>
</cp:coreProperties>
</file>